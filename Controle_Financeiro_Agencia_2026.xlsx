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s" sheetId="1" state="visible" r:id="rId1"/>
    <sheet name="Despesas" sheetId="2" state="visible" r:id="rId2"/>
    <sheet name="Fluxo de Caixa" sheetId="3" state="visible" r:id="rId3"/>
    <sheet name="D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\ #,##0.00;(R$\ #,##0.00);&quot;-&quot;"/>
    <numFmt numFmtId="165" formatCode="DD/MM/YYYY"/>
    <numFmt numFmtId="166" formatCode="0.0%;(0.0%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555555"/>
      <sz val="9"/>
    </font>
    <font>
      <name val="Arial"/>
      <color rgb="00FFFFFF"/>
    </font>
  </fonts>
  <fills count="12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7B1C1C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4B2D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indent="1"/>
    </xf>
    <xf numFmtId="164" fontId="4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indent="1"/>
    </xf>
    <xf numFmtId="164" fontId="3" fillId="9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166" fontId="5" fillId="10" borderId="1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Arial"/>
        <color rgb="00276221"/>
      </font>
      <fill>
        <patternFill patternType="solid">
          <fgColor rgb="00C6EFCE"/>
        </patternFill>
      </fill>
    </dxf>
    <dxf>
      <font>
        <name val="Arial"/>
        <color rgb="009C5700"/>
      </font>
      <fill>
        <patternFill patternType="solid">
          <fgColor rgb="00FFEB9C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4" customWidth="1" min="4" max="4"/>
    <col width="20" customWidth="1" min="5" max="5"/>
    <col width="20" customWidth="1" min="6" max="6"/>
    <col width="18" customWidth="1" min="7" max="7"/>
    <col width="14" customWidth="1" min="8" max="8"/>
    <col width="30" customWidth="1" min="9" max="9"/>
  </cols>
  <sheetData>
    <row r="1" ht="30" customHeight="1">
      <c r="A1" s="1" t="inlineStr">
        <is>
          <t>CONTROLE DE RECEITAS — 2026</t>
        </is>
      </c>
    </row>
    <row r="2" ht="36" customHeight="1">
      <c r="A2" s="2" t="inlineStr">
        <is>
          <t>Mês</t>
        </is>
      </c>
      <c r="B2" s="2" t="inlineStr">
        <is>
          <t>Cliente</t>
        </is>
      </c>
      <c r="C2" s="2" t="inlineStr">
        <is>
          <t>Projeto / Serviço</t>
        </is>
      </c>
      <c r="D2" s="2" t="inlineStr">
        <is>
          <t>Tipo</t>
        </is>
      </c>
      <c r="E2" s="2" t="inlineStr">
        <is>
          <t>Valor Previsto (R$)</t>
        </is>
      </c>
      <c r="F2" s="2" t="inlineStr">
        <is>
          <t>Valor Recebido (R$)</t>
        </is>
      </c>
      <c r="G2" s="2" t="inlineStr">
        <is>
          <t>Data Pagamento</t>
        </is>
      </c>
      <c r="H2" s="2" t="inlineStr">
        <is>
          <t>Status</t>
        </is>
      </c>
      <c r="I2" s="2" t="inlineStr">
        <is>
          <t>Observações</t>
        </is>
      </c>
    </row>
    <row r="3">
      <c r="A3" s="3" t="inlineStr">
        <is>
          <t>Jan/2026</t>
        </is>
      </c>
      <c r="B3" s="4" t="inlineStr">
        <is>
          <t>Marca Verde</t>
        </is>
      </c>
      <c r="C3" s="4" t="inlineStr">
        <is>
          <t>Gestão de Redes Sociais</t>
        </is>
      </c>
      <c r="D3" s="3" t="inlineStr">
        <is>
          <t>Recorrente</t>
        </is>
      </c>
      <c r="E3" s="5" t="n">
        <v>3500</v>
      </c>
      <c r="F3" s="5" t="n">
        <v>3500</v>
      </c>
      <c r="G3" s="6" t="inlineStr">
        <is>
          <t>2026-01-10</t>
        </is>
      </c>
      <c r="H3" s="3" t="inlineStr">
        <is>
          <t>Pago</t>
        </is>
      </c>
      <c r="I3" s="4" t="inlineStr"/>
    </row>
    <row r="4">
      <c r="A4" s="7" t="inlineStr">
        <is>
          <t>Jan/2026</t>
        </is>
      </c>
      <c r="B4" s="8" t="inlineStr">
        <is>
          <t>TechStart Ltda</t>
        </is>
      </c>
      <c r="C4" s="8" t="inlineStr">
        <is>
          <t>Mídia Paga (Meta Ads)</t>
        </is>
      </c>
      <c r="D4" s="7" t="inlineStr">
        <is>
          <t>Recorrente</t>
        </is>
      </c>
      <c r="E4" s="9" t="n">
        <v>2800</v>
      </c>
      <c r="F4" s="9" t="n">
        <v>2800</v>
      </c>
      <c r="G4" s="10" t="inlineStr">
        <is>
          <t>2026-01-15</t>
        </is>
      </c>
      <c r="H4" s="7" t="inlineStr">
        <is>
          <t>Pago</t>
        </is>
      </c>
      <c r="I4" s="8" t="inlineStr"/>
    </row>
    <row r="5">
      <c r="A5" s="3" t="inlineStr">
        <is>
          <t>Jan/2026</t>
        </is>
      </c>
      <c r="B5" s="4" t="inlineStr">
        <is>
          <t>Restaurante Bom Gosto</t>
        </is>
      </c>
      <c r="C5" s="4" t="inlineStr">
        <is>
          <t>Criação de Conteúdo</t>
        </is>
      </c>
      <c r="D5" s="3" t="inlineStr">
        <is>
          <t>Pontual</t>
        </is>
      </c>
      <c r="E5" s="5" t="n">
        <v>1500</v>
      </c>
      <c r="F5" s="5" t="n">
        <v>1500</v>
      </c>
      <c r="G5" s="6" t="inlineStr">
        <is>
          <t>2026-01-20</t>
        </is>
      </c>
      <c r="H5" s="3" t="inlineStr">
        <is>
          <t>Pago</t>
        </is>
      </c>
      <c r="I5" s="4" t="inlineStr"/>
    </row>
    <row r="6">
      <c r="A6" s="7" t="inlineStr">
        <is>
          <t>Fev/2026</t>
        </is>
      </c>
      <c r="B6" s="8" t="inlineStr">
        <is>
          <t>Marca Verde</t>
        </is>
      </c>
      <c r="C6" s="8" t="inlineStr">
        <is>
          <t>Gestão de Redes Sociais</t>
        </is>
      </c>
      <c r="D6" s="7" t="inlineStr">
        <is>
          <t>Recorrente</t>
        </is>
      </c>
      <c r="E6" s="9" t="n">
        <v>3500</v>
      </c>
      <c r="F6" s="9" t="n">
        <v>3500</v>
      </c>
      <c r="G6" s="10" t="inlineStr">
        <is>
          <t>2026-02-10</t>
        </is>
      </c>
      <c r="H6" s="7" t="inlineStr">
        <is>
          <t>Pago</t>
        </is>
      </c>
      <c r="I6" s="8" t="inlineStr"/>
    </row>
    <row r="7">
      <c r="A7" s="3" t="inlineStr">
        <is>
          <t>Fev/2026</t>
        </is>
      </c>
      <c r="B7" s="4" t="inlineStr">
        <is>
          <t>TechStart Ltda</t>
        </is>
      </c>
      <c r="C7" s="4" t="inlineStr">
        <is>
          <t>Mídia Paga (Meta Ads)</t>
        </is>
      </c>
      <c r="D7" s="3" t="inlineStr">
        <is>
          <t>Recorrente</t>
        </is>
      </c>
      <c r="E7" s="5" t="n">
        <v>2800</v>
      </c>
      <c r="F7" s="5" t="n">
        <v>0</v>
      </c>
      <c r="G7" s="3" t="inlineStr"/>
      <c r="H7" s="3" t="inlineStr">
        <is>
          <t>Pendente</t>
        </is>
      </c>
      <c r="I7" s="4" t="inlineStr">
        <is>
          <t>Aguardando fatura</t>
        </is>
      </c>
    </row>
    <row r="8">
      <c r="A8" s="7" t="inlineStr">
        <is>
          <t>Fev/2026</t>
        </is>
      </c>
      <c r="B8" s="8" t="inlineStr">
        <is>
          <t>Clínica Saúde Total</t>
        </is>
      </c>
      <c r="C8" s="8" t="inlineStr">
        <is>
          <t>Site + SEO</t>
        </is>
      </c>
      <c r="D8" s="7" t="inlineStr">
        <is>
          <t>Pontual</t>
        </is>
      </c>
      <c r="E8" s="9" t="n">
        <v>4200</v>
      </c>
      <c r="F8" s="9" t="n">
        <v>4200</v>
      </c>
      <c r="G8" s="10" t="inlineStr">
        <is>
          <t>2026-02-22</t>
        </is>
      </c>
      <c r="H8" s="7" t="inlineStr">
        <is>
          <t>Pago</t>
        </is>
      </c>
      <c r="I8" s="8" t="inlineStr"/>
    </row>
    <row r="9">
      <c r="A9" s="3" t="inlineStr">
        <is>
          <t>Mar/2026</t>
        </is>
      </c>
      <c r="B9" s="4" t="inlineStr">
        <is>
          <t>Marca Verde</t>
        </is>
      </c>
      <c r="C9" s="4" t="inlineStr">
        <is>
          <t>Gestão de Redes Sociais</t>
        </is>
      </c>
      <c r="D9" s="3" t="inlineStr">
        <is>
          <t>Recorrente</t>
        </is>
      </c>
      <c r="E9" s="5" t="n">
        <v>3500</v>
      </c>
      <c r="F9" s="5" t="n">
        <v>0</v>
      </c>
      <c r="G9" s="3" t="inlineStr"/>
      <c r="H9" s="3" t="inlineStr">
        <is>
          <t>Pendente</t>
        </is>
      </c>
      <c r="I9" s="4" t="inlineStr"/>
    </row>
    <row r="10">
      <c r="A10" s="7" t="inlineStr">
        <is>
          <t>Mar/2026</t>
        </is>
      </c>
      <c r="B10" s="8" t="inlineStr">
        <is>
          <t>Boutique Moda</t>
        </is>
      </c>
      <c r="C10" s="8" t="inlineStr">
        <is>
          <t>Campanha Lançamento</t>
        </is>
      </c>
      <c r="D10" s="7" t="inlineStr">
        <is>
          <t>Pontual</t>
        </is>
      </c>
      <c r="E10" s="9" t="n">
        <v>5000</v>
      </c>
      <c r="F10" s="9" t="n">
        <v>0</v>
      </c>
      <c r="G10" s="7" t="inlineStr"/>
      <c r="H10" s="7" t="inlineStr">
        <is>
          <t>Atrasado</t>
        </is>
      </c>
      <c r="I10" s="8" t="inlineStr">
        <is>
          <t>Venceu 05/03</t>
        </is>
      </c>
    </row>
    <row r="11" ht="22" customHeight="1">
      <c r="A11" s="11" t="inlineStr">
        <is>
          <t>TOTAL GERAL</t>
        </is>
      </c>
      <c r="E11" s="12">
        <f>SUM(E3:E10)</f>
        <v/>
      </c>
      <c r="F11" s="12">
        <f>SUM(F3:F10)</f>
        <v/>
      </c>
    </row>
  </sheetData>
  <mergeCells count="2">
    <mergeCell ref="A1:I1"/>
    <mergeCell ref="A11:D11"/>
  </mergeCells>
  <conditionalFormatting sqref="H3:H10">
    <cfRule type="cellIs" priority="1" operator="equal" dxfId="0">
      <formula>"Pago"</formula>
    </cfRule>
    <cfRule type="cellIs" priority="2" operator="equal" dxfId="1">
      <formula>"Pendente"</formula>
    </cfRule>
    <cfRule type="cellIs" priority="3" operator="equal" dxfId="2">
      <formula>"Atrasado"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20" customWidth="1" min="5" max="5"/>
    <col width="18" customWidth="1" min="6" max="6"/>
    <col width="18" customWidth="1" min="7" max="7"/>
    <col width="14" customWidth="1" min="8" max="8"/>
    <col width="22" customWidth="1" min="9" max="9"/>
    <col width="30" customWidth="1" min="10" max="10"/>
  </cols>
  <sheetData>
    <row r="1" ht="28" customHeight="1">
      <c r="A1" s="13" t="inlineStr">
        <is>
          <t>CONTROLE DE DESPESAS — 2026</t>
        </is>
      </c>
    </row>
    <row r="2" ht="36" customHeight="1">
      <c r="A2" s="2" t="inlineStr">
        <is>
          <t>Mês</t>
        </is>
      </c>
      <c r="B2" s="2" t="inlineStr">
        <is>
          <t>Tipo</t>
        </is>
      </c>
      <c r="C2" s="2" t="inlineStr">
        <is>
          <t>Categoria</t>
        </is>
      </c>
      <c r="D2" s="2" t="inlineStr">
        <is>
          <t>Descrição</t>
        </is>
      </c>
      <c r="E2" s="2" t="inlineStr">
        <is>
          <t>Valor Previsto (R$)</t>
        </is>
      </c>
      <c r="F2" s="2" t="inlineStr">
        <is>
          <t>Valor Pago (R$)</t>
        </is>
      </c>
      <c r="G2" s="2" t="inlineStr">
        <is>
          <t>Data Pagamento</t>
        </is>
      </c>
      <c r="H2" s="2" t="inlineStr">
        <is>
          <t>Status</t>
        </is>
      </c>
      <c r="I2" s="2" t="inlineStr">
        <is>
          <t>Fornecedor</t>
        </is>
      </c>
      <c r="J2" s="2" t="inlineStr">
        <is>
          <t>Observações</t>
        </is>
      </c>
    </row>
    <row r="3">
      <c r="A3" s="3" t="inlineStr">
        <is>
          <t>Jan/2026</t>
        </is>
      </c>
      <c r="B3" s="3" t="inlineStr">
        <is>
          <t>Fixo</t>
        </is>
      </c>
      <c r="C3" s="4" t="inlineStr">
        <is>
          <t>Salários</t>
        </is>
      </c>
      <c r="D3" s="4" t="inlineStr">
        <is>
          <t>Salário — Analista de Marketing</t>
        </is>
      </c>
      <c r="E3" s="5" t="n">
        <v>4500</v>
      </c>
      <c r="F3" s="5" t="n">
        <v>4500</v>
      </c>
      <c r="G3" s="3" t="inlineStr">
        <is>
          <t>2026-01-05</t>
        </is>
      </c>
      <c r="H3" s="3" t="inlineStr">
        <is>
          <t>Pago</t>
        </is>
      </c>
      <c r="I3" s="4" t="inlineStr">
        <is>
          <t>Funcionário CLT</t>
        </is>
      </c>
      <c r="J3" s="4" t="inlineStr"/>
    </row>
    <row r="4">
      <c r="A4" s="7" t="inlineStr">
        <is>
          <t>Jan/2026</t>
        </is>
      </c>
      <c r="B4" s="7" t="inlineStr">
        <is>
          <t>Fixo</t>
        </is>
      </c>
      <c r="C4" s="8" t="inlineStr">
        <is>
          <t>Salários</t>
        </is>
      </c>
      <c r="D4" s="8" t="inlineStr">
        <is>
          <t>Salário — Designer</t>
        </is>
      </c>
      <c r="E4" s="9" t="n">
        <v>3800</v>
      </c>
      <c r="F4" s="9" t="n">
        <v>3800</v>
      </c>
      <c r="G4" s="7" t="inlineStr">
        <is>
          <t>2026-01-05</t>
        </is>
      </c>
      <c r="H4" s="7" t="inlineStr">
        <is>
          <t>Pago</t>
        </is>
      </c>
      <c r="I4" s="8" t="inlineStr">
        <is>
          <t>Funcionário CLT</t>
        </is>
      </c>
      <c r="J4" s="8" t="inlineStr"/>
    </row>
    <row r="5">
      <c r="A5" s="3" t="inlineStr">
        <is>
          <t>Jan/2026</t>
        </is>
      </c>
      <c r="B5" s="3" t="inlineStr">
        <is>
          <t>Fixo</t>
        </is>
      </c>
      <c r="C5" s="4" t="inlineStr">
        <is>
          <t>Aluguel</t>
        </is>
      </c>
      <c r="D5" s="4" t="inlineStr">
        <is>
          <t>Aluguel do escritório</t>
        </is>
      </c>
      <c r="E5" s="5" t="n">
        <v>2200</v>
      </c>
      <c r="F5" s="5" t="n">
        <v>2200</v>
      </c>
      <c r="G5" s="3" t="inlineStr">
        <is>
          <t>2026-01-10</t>
        </is>
      </c>
      <c r="H5" s="3" t="inlineStr">
        <is>
          <t>Pago</t>
        </is>
      </c>
      <c r="I5" s="4" t="inlineStr">
        <is>
          <t>Imobiliária Central</t>
        </is>
      </c>
      <c r="J5" s="4" t="inlineStr"/>
    </row>
    <row r="6">
      <c r="A6" s="7" t="inlineStr">
        <is>
          <t>Jan/2026</t>
        </is>
      </c>
      <c r="B6" s="7" t="inlineStr">
        <is>
          <t>Fixo</t>
        </is>
      </c>
      <c r="C6" s="8" t="inlineStr">
        <is>
          <t>Softwares</t>
        </is>
      </c>
      <c r="D6" s="8" t="inlineStr">
        <is>
          <t>Adobe Creative Cloud</t>
        </is>
      </c>
      <c r="E6" s="9" t="n">
        <v>380</v>
      </c>
      <c r="F6" s="9" t="n">
        <v>380</v>
      </c>
      <c r="G6" s="7" t="inlineStr">
        <is>
          <t>2026-01-01</t>
        </is>
      </c>
      <c r="H6" s="7" t="inlineStr">
        <is>
          <t>Pago</t>
        </is>
      </c>
      <c r="I6" s="8" t="inlineStr">
        <is>
          <t>Adobe</t>
        </is>
      </c>
      <c r="J6" s="8" t="inlineStr"/>
    </row>
    <row r="7">
      <c r="A7" s="3" t="inlineStr">
        <is>
          <t>Jan/2026</t>
        </is>
      </c>
      <c r="B7" s="3" t="inlineStr">
        <is>
          <t>Fixo</t>
        </is>
      </c>
      <c r="C7" s="4" t="inlineStr">
        <is>
          <t>Softwares</t>
        </is>
      </c>
      <c r="D7" s="4" t="inlineStr">
        <is>
          <t>RD Station / CRM</t>
        </is>
      </c>
      <c r="E7" s="5" t="n">
        <v>290</v>
      </c>
      <c r="F7" s="5" t="n">
        <v>290</v>
      </c>
      <c r="G7" s="3" t="inlineStr">
        <is>
          <t>2026-01-01</t>
        </is>
      </c>
      <c r="H7" s="3" t="inlineStr">
        <is>
          <t>Pago</t>
        </is>
      </c>
      <c r="I7" s="4" t="inlineStr">
        <is>
          <t>RD Station</t>
        </is>
      </c>
      <c r="J7" s="4" t="inlineStr"/>
    </row>
    <row r="8">
      <c r="A8" s="7" t="inlineStr">
        <is>
          <t>Jan/2026</t>
        </is>
      </c>
      <c r="B8" s="7" t="inlineStr">
        <is>
          <t>Variável</t>
        </is>
      </c>
      <c r="C8" s="8" t="inlineStr">
        <is>
          <t>Freelancers</t>
        </is>
      </c>
      <c r="D8" s="8" t="inlineStr">
        <is>
          <t>Redator — Blog Marca Verde</t>
        </is>
      </c>
      <c r="E8" s="9" t="n">
        <v>600</v>
      </c>
      <c r="F8" s="9" t="n">
        <v>600</v>
      </c>
      <c r="G8" s="7" t="inlineStr">
        <is>
          <t>2026-01-18</t>
        </is>
      </c>
      <c r="H8" s="7" t="inlineStr">
        <is>
          <t>Pago</t>
        </is>
      </c>
      <c r="I8" s="8" t="inlineStr">
        <is>
          <t>João Redator</t>
        </is>
      </c>
      <c r="J8" s="8" t="inlineStr"/>
    </row>
    <row r="9">
      <c r="A9" s="3" t="inlineStr">
        <is>
          <t>Fev/2026</t>
        </is>
      </c>
      <c r="B9" s="3" t="inlineStr">
        <is>
          <t>Fixo</t>
        </is>
      </c>
      <c r="C9" s="4" t="inlineStr">
        <is>
          <t>Salários</t>
        </is>
      </c>
      <c r="D9" s="4" t="inlineStr">
        <is>
          <t>Salário — Analista de Marketing</t>
        </is>
      </c>
      <c r="E9" s="5" t="n">
        <v>4500</v>
      </c>
      <c r="F9" s="5" t="n">
        <v>4500</v>
      </c>
      <c r="G9" s="3" t="inlineStr">
        <is>
          <t>2026-02-05</t>
        </is>
      </c>
      <c r="H9" s="3" t="inlineStr">
        <is>
          <t>Pago</t>
        </is>
      </c>
      <c r="I9" s="4" t="inlineStr">
        <is>
          <t>Funcionário CLT</t>
        </is>
      </c>
      <c r="J9" s="4" t="inlineStr"/>
    </row>
    <row r="10">
      <c r="A10" s="7" t="inlineStr">
        <is>
          <t>Fev/2026</t>
        </is>
      </c>
      <c r="B10" s="7" t="inlineStr">
        <is>
          <t>Fixo</t>
        </is>
      </c>
      <c r="C10" s="8" t="inlineStr">
        <is>
          <t>Salários</t>
        </is>
      </c>
      <c r="D10" s="8" t="inlineStr">
        <is>
          <t>Salário — Designer</t>
        </is>
      </c>
      <c r="E10" s="9" t="n">
        <v>3800</v>
      </c>
      <c r="F10" s="9" t="n">
        <v>3800</v>
      </c>
      <c r="G10" s="7" t="inlineStr">
        <is>
          <t>2026-02-05</t>
        </is>
      </c>
      <c r="H10" s="7" t="inlineStr">
        <is>
          <t>Pago</t>
        </is>
      </c>
      <c r="I10" s="8" t="inlineStr">
        <is>
          <t>Funcionário CLT</t>
        </is>
      </c>
      <c r="J10" s="8" t="inlineStr"/>
    </row>
    <row r="11">
      <c r="A11" s="3" t="inlineStr">
        <is>
          <t>Fev/2026</t>
        </is>
      </c>
      <c r="B11" s="3" t="inlineStr">
        <is>
          <t>Fixo</t>
        </is>
      </c>
      <c r="C11" s="4" t="inlineStr">
        <is>
          <t>Aluguel</t>
        </is>
      </c>
      <c r="D11" s="4" t="inlineStr">
        <is>
          <t>Aluguel do escritório</t>
        </is>
      </c>
      <c r="E11" s="5" t="n">
        <v>2200</v>
      </c>
      <c r="F11" s="5" t="n">
        <v>2200</v>
      </c>
      <c r="G11" s="3" t="inlineStr">
        <is>
          <t>2026-02-10</t>
        </is>
      </c>
      <c r="H11" s="3" t="inlineStr">
        <is>
          <t>Pago</t>
        </is>
      </c>
      <c r="I11" s="4" t="inlineStr">
        <is>
          <t>Imobiliária Central</t>
        </is>
      </c>
      <c r="J11" s="4" t="inlineStr"/>
    </row>
    <row r="12">
      <c r="A12" s="7" t="inlineStr">
        <is>
          <t>Fev/2026</t>
        </is>
      </c>
      <c r="B12" s="7" t="inlineStr">
        <is>
          <t>Variável</t>
        </is>
      </c>
      <c r="C12" s="8" t="inlineStr">
        <is>
          <t>Publicidade</t>
        </is>
      </c>
      <c r="D12" s="8" t="inlineStr">
        <is>
          <t>Verba de Tráfego Pago (teste)</t>
        </is>
      </c>
      <c r="E12" s="9" t="n">
        <v>800</v>
      </c>
      <c r="F12" s="9" t="n">
        <v>800</v>
      </c>
      <c r="G12" s="7" t="inlineStr">
        <is>
          <t>2026-02-20</t>
        </is>
      </c>
      <c r="H12" s="7" t="inlineStr">
        <is>
          <t>Pago</t>
        </is>
      </c>
      <c r="I12" s="8" t="inlineStr">
        <is>
          <t>Meta/Google</t>
        </is>
      </c>
      <c r="J12" s="8" t="inlineStr"/>
    </row>
    <row r="13">
      <c r="A13" s="3" t="inlineStr">
        <is>
          <t>Mar/2026</t>
        </is>
      </c>
      <c r="B13" s="3" t="inlineStr">
        <is>
          <t>Fixo</t>
        </is>
      </c>
      <c r="C13" s="4" t="inlineStr">
        <is>
          <t>Salários</t>
        </is>
      </c>
      <c r="D13" s="4" t="inlineStr">
        <is>
          <t>Salário — Analista de Marketing</t>
        </is>
      </c>
      <c r="E13" s="5" t="n">
        <v>4500</v>
      </c>
      <c r="F13" s="5" t="n">
        <v>0</v>
      </c>
      <c r="G13" s="3" t="inlineStr"/>
      <c r="H13" s="3" t="inlineStr">
        <is>
          <t>Pendente</t>
        </is>
      </c>
      <c r="I13" s="4" t="inlineStr">
        <is>
          <t>Funcionário CLT</t>
        </is>
      </c>
      <c r="J13" s="4" t="inlineStr"/>
    </row>
    <row r="14">
      <c r="A14" s="7" t="inlineStr">
        <is>
          <t>Mar/2026</t>
        </is>
      </c>
      <c r="B14" s="7" t="inlineStr">
        <is>
          <t>Fixo</t>
        </is>
      </c>
      <c r="C14" s="8" t="inlineStr">
        <is>
          <t>Salários</t>
        </is>
      </c>
      <c r="D14" s="8" t="inlineStr">
        <is>
          <t>Salário — Designer</t>
        </is>
      </c>
      <c r="E14" s="9" t="n">
        <v>3800</v>
      </c>
      <c r="F14" s="9" t="n">
        <v>0</v>
      </c>
      <c r="G14" s="7" t="inlineStr"/>
      <c r="H14" s="7" t="inlineStr">
        <is>
          <t>Pendente</t>
        </is>
      </c>
      <c r="I14" s="8" t="inlineStr">
        <is>
          <t>Funcionário CLT</t>
        </is>
      </c>
      <c r="J14" s="8" t="inlineStr"/>
    </row>
    <row r="15">
      <c r="A15" s="3" t="inlineStr">
        <is>
          <t>Mar/2026</t>
        </is>
      </c>
      <c r="B15" s="3" t="inlineStr">
        <is>
          <t>Fixo</t>
        </is>
      </c>
      <c r="C15" s="4" t="inlineStr">
        <is>
          <t>Aluguel</t>
        </is>
      </c>
      <c r="D15" s="4" t="inlineStr">
        <is>
          <t>Aluguel do escritório</t>
        </is>
      </c>
      <c r="E15" s="5" t="n">
        <v>2200</v>
      </c>
      <c r="F15" s="5" t="n">
        <v>0</v>
      </c>
      <c r="G15" s="3" t="inlineStr"/>
      <c r="H15" s="3" t="inlineStr">
        <is>
          <t>Pendente</t>
        </is>
      </c>
      <c r="I15" s="4" t="inlineStr">
        <is>
          <t>Imobiliária Central</t>
        </is>
      </c>
      <c r="J15" s="4" t="inlineStr"/>
    </row>
    <row r="16">
      <c r="A16" s="7" t="inlineStr">
        <is>
          <t>Mar/2026</t>
        </is>
      </c>
      <c r="B16" s="7" t="inlineStr">
        <is>
          <t>Variável</t>
        </is>
      </c>
      <c r="C16" s="8" t="inlineStr">
        <is>
          <t>Outras</t>
        </is>
      </c>
      <c r="D16" s="8" t="inlineStr">
        <is>
          <t>Material de escritório</t>
        </is>
      </c>
      <c r="E16" s="9" t="n">
        <v>150</v>
      </c>
      <c r="F16" s="9" t="n">
        <v>0</v>
      </c>
      <c r="G16" s="7" t="inlineStr"/>
      <c r="H16" s="7" t="inlineStr">
        <is>
          <t>Pendente</t>
        </is>
      </c>
      <c r="I16" s="8" t="inlineStr">
        <is>
          <t>Papelaria</t>
        </is>
      </c>
      <c r="J16" s="8" t="inlineStr"/>
    </row>
    <row r="17">
      <c r="A17" s="14" t="inlineStr">
        <is>
          <t>TOTAL GERAL</t>
        </is>
      </c>
      <c r="E17" s="15">
        <f>SUM(E3:E16)</f>
        <v/>
      </c>
      <c r="F17" s="15">
        <f>SUM(F3:F16)</f>
        <v/>
      </c>
    </row>
  </sheetData>
  <mergeCells count="2">
    <mergeCell ref="A1:J1"/>
    <mergeCell ref="A17:D17"/>
  </mergeCells>
  <conditionalFormatting sqref="H3:H16">
    <cfRule type="cellIs" priority="1" operator="equal" dxfId="0">
      <formula>"Pago"</formula>
    </cfRule>
    <cfRule type="cellIs" priority="2" operator="equal" dxfId="1">
      <formula>"Pendente"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8" customHeight="1">
      <c r="A1" s="16" t="inlineStr">
        <is>
          <t>FLUXO DE CAIXA — 2026</t>
        </is>
      </c>
    </row>
    <row r="2" ht="28" customHeight="1">
      <c r="A2" s="17" t="inlineStr">
        <is>
          <t>Indicador</t>
        </is>
      </c>
      <c r="B2" s="2" t="inlineStr">
        <is>
          <t>Jan/26</t>
        </is>
      </c>
      <c r="C2" s="2" t="inlineStr">
        <is>
          <t>Fev/26</t>
        </is>
      </c>
      <c r="D2" s="2" t="inlineStr">
        <is>
          <t>Mar/26</t>
        </is>
      </c>
      <c r="E2" s="2" t="inlineStr">
        <is>
          <t>Abr/26</t>
        </is>
      </c>
      <c r="F2" s="2" t="inlineStr">
        <is>
          <t>Mai/26</t>
        </is>
      </c>
      <c r="G2" s="2" t="inlineStr">
        <is>
          <t>Jun/26</t>
        </is>
      </c>
      <c r="H2" s="2" t="inlineStr">
        <is>
          <t>Jul/26</t>
        </is>
      </c>
      <c r="I2" s="2" t="inlineStr">
        <is>
          <t>Ago/26</t>
        </is>
      </c>
      <c r="J2" s="2" t="inlineStr">
        <is>
          <t>Set/26</t>
        </is>
      </c>
      <c r="K2" s="2" t="inlineStr">
        <is>
          <t>Out/26</t>
        </is>
      </c>
      <c r="L2" s="2" t="inlineStr">
        <is>
          <t>Nov/26</t>
        </is>
      </c>
      <c r="M2" s="2" t="inlineStr">
        <is>
          <t>Dez/26</t>
        </is>
      </c>
      <c r="N2" s="2" t="inlineStr">
        <is>
          <t>TOTAL ANO</t>
        </is>
      </c>
    </row>
    <row r="3" ht="22" customHeight="1">
      <c r="A3" s="18" t="inlineStr">
        <is>
          <t>Saldo Inicial</t>
        </is>
      </c>
      <c r="B3" s="19" t="n">
        <v>5000</v>
      </c>
      <c r="C3" s="20">
        <f>B7</f>
        <v/>
      </c>
      <c r="D3" s="20">
        <f>C7</f>
        <v/>
      </c>
      <c r="E3" s="20">
        <f>D7</f>
        <v/>
      </c>
      <c r="F3" s="20">
        <f>E7</f>
        <v/>
      </c>
      <c r="G3" s="20">
        <f>F7</f>
        <v/>
      </c>
      <c r="H3" s="20">
        <f>G7</f>
        <v/>
      </c>
      <c r="I3" s="20">
        <f>H7</f>
        <v/>
      </c>
      <c r="J3" s="20">
        <f>I7</f>
        <v/>
      </c>
      <c r="K3" s="20">
        <f>J7</f>
        <v/>
      </c>
      <c r="L3" s="20">
        <f>K7</f>
        <v/>
      </c>
      <c r="M3" s="20">
        <f>L7</f>
        <v/>
      </c>
      <c r="N3" s="21" t="inlineStr">
        <is>
          <t>-</t>
        </is>
      </c>
    </row>
    <row r="4" ht="22" customHeight="1">
      <c r="A4" s="22" t="inlineStr">
        <is>
          <t>(+) Total Receitas Recebidas</t>
        </is>
      </c>
      <c r="B4" s="23" t="n">
        <v>7800</v>
      </c>
      <c r="C4" s="23" t="n">
        <v>7700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1">
        <f>SUM(B4:M4)</f>
        <v/>
      </c>
    </row>
    <row r="5" ht="22" customHeight="1">
      <c r="A5" s="24" t="inlineStr">
        <is>
          <t>(-) Total Despesas Pagas</t>
        </is>
      </c>
      <c r="B5" s="25" t="n">
        <v>12570</v>
      </c>
      <c r="C5" s="25" t="n">
        <v>11300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21">
        <f>SUM(B5:M5)</f>
        <v/>
      </c>
    </row>
    <row r="6" ht="22" customHeight="1">
      <c r="A6" s="26">
        <f> Resultado do Mês</f>
        <v/>
      </c>
      <c r="B6" s="27">
        <f>B4-B5</f>
        <v/>
      </c>
      <c r="C6" s="27">
        <f>C4-C5</f>
        <v/>
      </c>
      <c r="D6" s="27">
        <f>D4-D5</f>
        <v/>
      </c>
      <c r="E6" s="27">
        <f>E4-E5</f>
        <v/>
      </c>
      <c r="F6" s="27">
        <f>F4-F5</f>
        <v/>
      </c>
      <c r="G6" s="27">
        <f>G4-G5</f>
        <v/>
      </c>
      <c r="H6" s="27">
        <f>H4-H5</f>
        <v/>
      </c>
      <c r="I6" s="27">
        <f>I4-I5</f>
        <v/>
      </c>
      <c r="J6" s="27">
        <f>J4-J5</f>
        <v/>
      </c>
      <c r="K6" s="27">
        <f>K4-K5</f>
        <v/>
      </c>
      <c r="L6" s="27">
        <f>L4-L5</f>
        <v/>
      </c>
      <c r="M6" s="27">
        <f>M4-M5</f>
        <v/>
      </c>
      <c r="N6" s="21">
        <f>SUM(B6:M6)</f>
        <v/>
      </c>
    </row>
    <row r="7" ht="22" customHeight="1">
      <c r="A7" s="18">
        <f> Saldo Final</f>
        <v/>
      </c>
      <c r="B7" s="28">
        <f>B3+B6</f>
        <v/>
      </c>
      <c r="C7" s="28">
        <f>C3+C6</f>
        <v/>
      </c>
      <c r="D7" s="28">
        <f>D3+D6</f>
        <v/>
      </c>
      <c r="E7" s="28">
        <f>E3+E6</f>
        <v/>
      </c>
      <c r="F7" s="28">
        <f>F3+F6</f>
        <v/>
      </c>
      <c r="G7" s="28">
        <f>G3+G6</f>
        <v/>
      </c>
      <c r="H7" s="28">
        <f>H3+H6</f>
        <v/>
      </c>
      <c r="I7" s="28">
        <f>I3+I6</f>
        <v/>
      </c>
      <c r="J7" s="28">
        <f>J3+J6</f>
        <v/>
      </c>
      <c r="K7" s="28">
        <f>K3+K6</f>
        <v/>
      </c>
      <c r="L7" s="28">
        <f>L3+L6</f>
        <v/>
      </c>
      <c r="M7" s="28">
        <f>M3+M6</f>
        <v/>
      </c>
      <c r="N7" s="21" t="inlineStr">
        <is>
          <t>-</t>
        </is>
      </c>
    </row>
    <row r="9">
      <c r="A9" s="29" t="inlineStr">
        <is>
          <t>Nota: Valores em azul = entradas manuais. Valores em verde = links automáticos. Atualize mensalmente.</t>
        </is>
      </c>
    </row>
  </sheetData>
  <mergeCells count="1">
    <mergeCell ref="A1:N1"/>
  </mergeCells>
  <conditionalFormatting sqref="B6:M6">
    <cfRule type="cellIs" priority="1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N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</cols>
  <sheetData>
    <row r="1" ht="28" customHeight="1">
      <c r="A1" s="30" t="inlineStr">
        <is>
          <t>DRE — DEMONSTRATIVO DE RESULTADO — 2026</t>
        </is>
      </c>
    </row>
    <row r="2" ht="28" customHeight="1">
      <c r="A2" s="31" t="inlineStr">
        <is>
          <t>Indicador</t>
        </is>
      </c>
      <c r="B2" s="32" t="inlineStr">
        <is>
          <t>Jan/26</t>
        </is>
      </c>
      <c r="C2" s="32" t="inlineStr">
        <is>
          <t>Fev/26</t>
        </is>
      </c>
      <c r="D2" s="32" t="inlineStr">
        <is>
          <t>Mar/26</t>
        </is>
      </c>
      <c r="E2" s="32" t="inlineStr">
        <is>
          <t>Abr/26</t>
        </is>
      </c>
      <c r="F2" s="32" t="inlineStr">
        <is>
          <t>Mai/26</t>
        </is>
      </c>
      <c r="G2" s="32" t="inlineStr">
        <is>
          <t>Jun/26</t>
        </is>
      </c>
      <c r="H2" s="32" t="inlineStr">
        <is>
          <t>Jul/26</t>
        </is>
      </c>
      <c r="I2" s="32" t="inlineStr">
        <is>
          <t>Ago/26</t>
        </is>
      </c>
      <c r="J2" s="32" t="inlineStr">
        <is>
          <t>Set/26</t>
        </is>
      </c>
      <c r="K2" s="32" t="inlineStr">
        <is>
          <t>Out/26</t>
        </is>
      </c>
      <c r="L2" s="32" t="inlineStr">
        <is>
          <t>Nov/26</t>
        </is>
      </c>
      <c r="M2" s="32" t="inlineStr">
        <is>
          <t>Dez/26</t>
        </is>
      </c>
      <c r="N2" s="32" t="inlineStr">
        <is>
          <t>TOTAL ANO</t>
        </is>
      </c>
    </row>
    <row r="3" ht="22" customHeight="1">
      <c r="A3" s="33" t="inlineStr">
        <is>
          <t>RECEITA BRUTA</t>
        </is>
      </c>
      <c r="B3" s="23" t="n">
        <v>7800</v>
      </c>
      <c r="C3" s="23" t="n">
        <v>11500</v>
      </c>
      <c r="D3" s="23" t="n">
        <v>8500</v>
      </c>
      <c r="E3" s="23" t="n">
        <v>9000</v>
      </c>
      <c r="F3" s="23" t="n">
        <v>9500</v>
      </c>
      <c r="G3" s="23" t="n">
        <v>10000</v>
      </c>
      <c r="H3" s="23" t="n">
        <v>10500</v>
      </c>
      <c r="I3" s="23" t="n">
        <v>11000</v>
      </c>
      <c r="J3" s="23" t="n">
        <v>11500</v>
      </c>
      <c r="K3" s="23" t="n">
        <v>12000</v>
      </c>
      <c r="L3" s="23" t="n">
        <v>13000</v>
      </c>
      <c r="M3" s="23" t="n">
        <v>15000</v>
      </c>
      <c r="N3" s="34">
        <f>SUM(B3:M3)</f>
        <v/>
      </c>
    </row>
    <row r="4" ht="22" customHeight="1">
      <c r="A4" s="35" t="inlineStr">
        <is>
          <t>(-) Impostos (Simples ~6%)</t>
        </is>
      </c>
      <c r="B4" s="36">
        <f>-B3*0.06</f>
        <v/>
      </c>
      <c r="C4" s="36">
        <f>-C3*0.06</f>
        <v/>
      </c>
      <c r="D4" s="36">
        <f>-D3*0.06</f>
        <v/>
      </c>
      <c r="E4" s="36">
        <f>-E3*0.06</f>
        <v/>
      </c>
      <c r="F4" s="36">
        <f>-F3*0.06</f>
        <v/>
      </c>
      <c r="G4" s="36">
        <f>-G3*0.06</f>
        <v/>
      </c>
      <c r="H4" s="36">
        <f>-H3*0.06</f>
        <v/>
      </c>
      <c r="I4" s="36">
        <f>-I3*0.06</f>
        <v/>
      </c>
      <c r="J4" s="36">
        <f>-J3*0.06</f>
        <v/>
      </c>
      <c r="K4" s="36">
        <f>-K3*0.06</f>
        <v/>
      </c>
      <c r="L4" s="36">
        <f>-L3*0.06</f>
        <v/>
      </c>
      <c r="M4" s="36">
        <f>-M3*0.06</f>
        <v/>
      </c>
      <c r="N4" s="37">
        <f>SUM(B4:M4)</f>
        <v/>
      </c>
    </row>
    <row r="5" ht="22" customHeight="1">
      <c r="A5" s="38">
        <f> RECEITA LÍQUIDA</f>
        <v/>
      </c>
      <c r="B5" s="28">
        <f>B3+B4</f>
        <v/>
      </c>
      <c r="C5" s="28">
        <f>C3+C4</f>
        <v/>
      </c>
      <c r="D5" s="28">
        <f>D3+D4</f>
        <v/>
      </c>
      <c r="E5" s="28">
        <f>E3+E4</f>
        <v/>
      </c>
      <c r="F5" s="28">
        <f>F3+F4</f>
        <v/>
      </c>
      <c r="G5" s="28">
        <f>G3+G4</f>
        <v/>
      </c>
      <c r="H5" s="28">
        <f>H3+H4</f>
        <v/>
      </c>
      <c r="I5" s="28">
        <f>I3+I4</f>
        <v/>
      </c>
      <c r="J5" s="28">
        <f>J3+J4</f>
        <v/>
      </c>
      <c r="K5" s="28">
        <f>K3+K4</f>
        <v/>
      </c>
      <c r="L5" s="28">
        <f>L3+L4</f>
        <v/>
      </c>
      <c r="M5" s="28">
        <f>M3+M4</f>
        <v/>
      </c>
      <c r="N5" s="34">
        <f>SUM(B5:M5)</f>
        <v/>
      </c>
    </row>
    <row r="6" ht="22" customHeight="1">
      <c r="A6" s="35" t="inlineStr">
        <is>
          <t>(-) Custo dos Serviços (CPV)</t>
        </is>
      </c>
      <c r="B6" s="25" t="n">
        <v>1200</v>
      </c>
      <c r="C6" s="25" t="n">
        <v>1800</v>
      </c>
      <c r="D6" s="25" t="n">
        <v>1500</v>
      </c>
      <c r="E6" s="25" t="n">
        <v>1600</v>
      </c>
      <c r="F6" s="25" t="n">
        <v>1700</v>
      </c>
      <c r="G6" s="25" t="n">
        <v>1800</v>
      </c>
      <c r="H6" s="25" t="n">
        <v>1900</v>
      </c>
      <c r="I6" s="25" t="n">
        <v>2000</v>
      </c>
      <c r="J6" s="25" t="n">
        <v>2000</v>
      </c>
      <c r="K6" s="25" t="n">
        <v>2200</v>
      </c>
      <c r="L6" s="25" t="n">
        <v>2400</v>
      </c>
      <c r="M6" s="25" t="n">
        <v>2800</v>
      </c>
      <c r="N6" s="37">
        <f>SUM(B6:M6)</f>
        <v/>
      </c>
    </row>
    <row r="7" ht="22" customHeight="1">
      <c r="A7" s="38">
        <f> LUCRO BRUTO</f>
        <v/>
      </c>
      <c r="B7" s="28">
        <f>B5-B6</f>
        <v/>
      </c>
      <c r="C7" s="28">
        <f>C5-C6</f>
        <v/>
      </c>
      <c r="D7" s="28">
        <f>D5-D6</f>
        <v/>
      </c>
      <c r="E7" s="28">
        <f>E5-E6</f>
        <v/>
      </c>
      <c r="F7" s="28">
        <f>F5-F6</f>
        <v/>
      </c>
      <c r="G7" s="28">
        <f>G5-G6</f>
        <v/>
      </c>
      <c r="H7" s="28">
        <f>H5-H6</f>
        <v/>
      </c>
      <c r="I7" s="28">
        <f>I5-I6</f>
        <v/>
      </c>
      <c r="J7" s="28">
        <f>J5-J6</f>
        <v/>
      </c>
      <c r="K7" s="28">
        <f>K5-K6</f>
        <v/>
      </c>
      <c r="L7" s="28">
        <f>L5-L6</f>
        <v/>
      </c>
      <c r="M7" s="28">
        <f>M5-M6</f>
        <v/>
      </c>
      <c r="N7" s="34">
        <f>SUM(B7:M7)</f>
        <v/>
      </c>
    </row>
    <row r="8" ht="22" customHeight="1">
      <c r="A8" s="35" t="inlineStr">
        <is>
          <t>(-) Despesas Operacionais</t>
        </is>
      </c>
      <c r="B8" s="25" t="n">
        <v>11070</v>
      </c>
      <c r="C8" s="25" t="n">
        <v>11070</v>
      </c>
      <c r="D8" s="25" t="n">
        <v>11070</v>
      </c>
      <c r="E8" s="25" t="n">
        <v>11070</v>
      </c>
      <c r="F8" s="25" t="n">
        <v>11070</v>
      </c>
      <c r="G8" s="25" t="n">
        <v>11070</v>
      </c>
      <c r="H8" s="25" t="n">
        <v>11070</v>
      </c>
      <c r="I8" s="25" t="n">
        <v>11070</v>
      </c>
      <c r="J8" s="25" t="n">
        <v>11070</v>
      </c>
      <c r="K8" s="25" t="n">
        <v>11070</v>
      </c>
      <c r="L8" s="25" t="n">
        <v>11070</v>
      </c>
      <c r="M8" s="25" t="n">
        <v>11070</v>
      </c>
      <c r="N8" s="37">
        <f>SUM(B8:M8)</f>
        <v/>
      </c>
    </row>
    <row r="9" ht="22" customHeight="1">
      <c r="A9" s="35" t="inlineStr">
        <is>
          <t>(-) Despesas com Marketing/Captação</t>
        </is>
      </c>
      <c r="B9" s="25" t="n">
        <v>0</v>
      </c>
      <c r="C9" s="25" t="n">
        <v>800</v>
      </c>
      <c r="D9" s="25" t="n">
        <v>500</v>
      </c>
      <c r="E9" s="25" t="n">
        <v>500</v>
      </c>
      <c r="F9" s="25" t="n">
        <v>500</v>
      </c>
      <c r="G9" s="25" t="n">
        <v>500</v>
      </c>
      <c r="H9" s="25" t="n">
        <v>500</v>
      </c>
      <c r="I9" s="25" t="n">
        <v>500</v>
      </c>
      <c r="J9" s="25" t="n">
        <v>500</v>
      </c>
      <c r="K9" s="25" t="n">
        <v>500</v>
      </c>
      <c r="L9" s="25" t="n">
        <v>500</v>
      </c>
      <c r="M9" s="25" t="n">
        <v>500</v>
      </c>
      <c r="N9" s="37">
        <f>SUM(B9:M9)</f>
        <v/>
      </c>
    </row>
    <row r="10" ht="22" customHeight="1">
      <c r="A10" s="39">
        <f> LUCRO OPERACIONAL (EBITDA)</f>
        <v/>
      </c>
      <c r="B10" s="27">
        <f>B7-B8-B9</f>
        <v/>
      </c>
      <c r="C10" s="27">
        <f>C7-C8-C9</f>
        <v/>
      </c>
      <c r="D10" s="27">
        <f>D7-D8-D9</f>
        <v/>
      </c>
      <c r="E10" s="27">
        <f>E7-E8-E9</f>
        <v/>
      </c>
      <c r="F10" s="27">
        <f>F7-F8-F9</f>
        <v/>
      </c>
      <c r="G10" s="27">
        <f>G7-G8-G9</f>
        <v/>
      </c>
      <c r="H10" s="27">
        <f>H7-H8-H9</f>
        <v/>
      </c>
      <c r="I10" s="27">
        <f>I7-I8-I9</f>
        <v/>
      </c>
      <c r="J10" s="27">
        <f>J7-J8-J9</f>
        <v/>
      </c>
      <c r="K10" s="27">
        <f>K7-K8-K9</f>
        <v/>
      </c>
      <c r="L10" s="27">
        <f>L7-L8-L9</f>
        <v/>
      </c>
      <c r="M10" s="27">
        <f>M7-M8-M9</f>
        <v/>
      </c>
      <c r="N10" s="34">
        <f>SUM(B10:M10)</f>
        <v/>
      </c>
    </row>
    <row r="11" ht="22" customHeight="1">
      <c r="A11" s="39" t="inlineStr">
        <is>
          <t>Margem de Lucro (%)</t>
        </is>
      </c>
      <c r="B11" s="40">
        <f>IF(B3=0,0,B10/B3)</f>
        <v/>
      </c>
      <c r="C11" s="40">
        <f>IF(C3=0,0,C10/C3)</f>
        <v/>
      </c>
      <c r="D11" s="40">
        <f>IF(D3=0,0,D10/D3)</f>
        <v/>
      </c>
      <c r="E11" s="40">
        <f>IF(E3=0,0,E10/E3)</f>
        <v/>
      </c>
      <c r="F11" s="40">
        <f>IF(F3=0,0,F10/F3)</f>
        <v/>
      </c>
      <c r="G11" s="40">
        <f>IF(G3=0,0,G10/G3)</f>
        <v/>
      </c>
      <c r="H11" s="40">
        <f>IF(H3=0,0,H10/H3)</f>
        <v/>
      </c>
      <c r="I11" s="40">
        <f>IF(I3=0,0,I10/I3)</f>
        <v/>
      </c>
      <c r="J11" s="40">
        <f>IF(J3=0,0,J10/J3)</f>
        <v/>
      </c>
      <c r="K11" s="40">
        <f>IF(K3=0,0,K10/K3)</f>
        <v/>
      </c>
      <c r="L11" s="40">
        <f>IF(L3=0,0,L10/L3)</f>
        <v/>
      </c>
      <c r="M11" s="40">
        <f>IF(M3=0,0,M10/M3)</f>
        <v/>
      </c>
      <c r="N11" s="41">
        <f>IF(SUM(B3:M3)=0,0,SUM(B10:M10)/SUM(B3:M3))</f>
        <v/>
      </c>
    </row>
    <row r="14">
      <c r="A14" s="29" t="inlineStr">
        <is>
          <t>Legenda: Texto azul = valor de entrada (editável) | Texto preto = fórmula calculada</t>
        </is>
      </c>
    </row>
  </sheetData>
  <mergeCells count="1">
    <mergeCell ref="A1:N1"/>
  </mergeCells>
  <conditionalFormatting sqref="B10:M10">
    <cfRule type="cellIs" priority="1" operator="less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2026-05-29T00:41:58Z</dcterms:created>
  <dcterms:modified xsi:type="dcterms:W3CDTF">2026-05-29T00:41:58Z</dcterms:modified>
</cp:coreProperties>
</file>